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elopment\Projects\Excel\Accounts\"/>
    </mc:Choice>
  </mc:AlternateContent>
  <xr:revisionPtr revIDLastSave="0" documentId="13_ncr:1_{EAD7E04B-81B6-4285-A127-AEBB98E1A322}" xr6:coauthVersionLast="47" xr6:coauthVersionMax="47" xr10:uidLastSave="{00000000-0000-0000-0000-000000000000}"/>
  <bookViews>
    <workbookView xWindow="22932" yWindow="-108" windowWidth="23256" windowHeight="13176" tabRatio="828" xr2:uid="{34389C44-CFB6-4BE8-95DE-A8501B0E8E61}"/>
  </bookViews>
  <sheets>
    <sheet name="Credit Card Transactions" sheetId="1" r:id="rId1"/>
    <sheet name="Formula" sheetId="2" r:id="rId2"/>
    <sheet name="Lambda" sheetId="10" r:id="rId3"/>
    <sheet name="Pivot Table" sheetId="3" r:id="rId4"/>
    <sheet name="Power Query" sheetId="5" r:id="rId5"/>
    <sheet name="VBA" sheetId="6" r:id="rId6"/>
  </sheets>
  <functionGroups builtInGroupCount="19"/>
  <definedNames>
    <definedName name="_xlnm._FilterDatabase" localSheetId="0" hidden="1">'Credit Card Transactions'!$A$1:$F$13</definedName>
    <definedName name="_xlcn.WorksheetConnection_AccountQueries.xlsxTableTransactions1" hidden="1">TableTransactions[]</definedName>
    <definedName name="_xlpm.Month" hidden="1" xlm="1">#NAME?</definedName>
    <definedName name="AmountOwedLambda">_xlfn.LAMBDA(_xlpm.Month, SUM(_xlfn.CHOOSECOLS(_xlfn._xlws.FILTER(TableTransactions[],MONTH(TableTransactions[Date])=MONTH(EOMONTH(DATEVALUE("01-"&amp;_xlpm.Month&amp;YEAR(NOW())),0)),0), 4)))</definedName>
    <definedName name="ExternalData_1" localSheetId="4" hidden="1">'Power Query'!$B$8:$C$13</definedName>
    <definedName name="ExternalData_2" localSheetId="4" hidden="1">'Power Query'!$E$8:$G$13</definedName>
    <definedName name="ExternalData_3" localSheetId="4" hidden="1">'Power Query'!$I$8:$I$9</definedName>
    <definedName name="ExternalData_4" localSheetId="4" hidden="1">'Power Query'!$M$8:$M$9</definedName>
    <definedName name="ExternalData_5" localSheetId="4" hidden="1">'Power Query'!$O$8:$P$9</definedName>
    <definedName name="Month">Lambda!$B$7:$B$9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Transactions" name="TableTransactions" connection="WorksheetConnection_AccountQueries.xlsx!TableTransaction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 a="1"/>
  <c r="C3" i="2" s="1"/>
  <c r="F3" i="1"/>
  <c r="C7" i="6" a="1"/>
  <c r="C6" i="6" a="1"/>
  <c r="C5" i="6" a="1"/>
  <c r="C4" i="6" a="1"/>
  <c r="C3" i="6" a="1"/>
  <c r="C7" i="6" l="1"/>
  <c r="C6" i="6"/>
  <c r="C5" i="6"/>
  <c r="C4" i="6"/>
  <c r="C3" i="6"/>
  <c r="F4" i="1"/>
  <c r="C4" i="2" l="1" a="1"/>
  <c r="C4" i="2" s="1"/>
  <c r="F5" i="1"/>
  <c r="F6" i="1" s="1"/>
  <c r="F7" i="1" s="1"/>
  <c r="F8" i="1" s="1"/>
  <c r="C5" i="2" s="1" a="1"/>
  <c r="C5" i="2" s="1"/>
  <c r="F9" i="1" l="1"/>
  <c r="C8" i="10" l="1" a="1"/>
  <c r="C8" i="10" s="1"/>
  <c r="C6" i="2" a="1"/>
  <c r="C6" i="2" s="1"/>
  <c r="F10" i="1"/>
  <c r="F11" i="1" s="1"/>
  <c r="F12" i="1" s="1"/>
  <c r="C9" i="10" l="1" a="1"/>
  <c r="C9" i="10" s="1"/>
  <c r="C7" i="2" a="1"/>
  <c r="C7" i="2" s="1"/>
  <c r="F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Adam Gladstone</author>
  </authors>
  <commentList>
    <comment ref="I6" authorId="0" shapeId="0" xr:uid="{CA2CEB98-906C-4D29-8F9A-EDACA5A3DC2B}">
      <text>
        <r>
          <rPr>
            <b/>
            <sz val="9"/>
            <color indexed="81"/>
            <rFont val="Tahoma"/>
            <family val="2"/>
          </rPr>
          <t>Adam Gladstone:</t>
        </r>
        <r>
          <rPr>
            <sz val="9"/>
            <color indexed="81"/>
            <rFont val="Tahoma"/>
            <family val="2"/>
          </rPr>
          <t xml:space="preserve">
1) Double-click the ParameterisedQuery in the Queries &amp; Connections pane.
2) From the PowerQuery menu, select Manage Parameters. Change the current value. Press OK. Close and Load.
3) Press the Refresh button (on the right-hand side of the pane)</t>
        </r>
      </text>
    </comment>
    <comment ref="K6" authorId="0" shapeId="0" xr:uid="{B38CEE11-689D-48B4-A275-E39EB7E9BFCE}">
      <text>
        <r>
          <rPr>
            <b/>
            <sz val="9"/>
            <color indexed="81"/>
            <rFont val="Tahoma"/>
            <family val="2"/>
          </rPr>
          <t>Adam Gladstone:</t>
        </r>
        <r>
          <rPr>
            <sz val="9"/>
            <color indexed="81"/>
            <rFont val="Tahoma"/>
            <family val="2"/>
          </rPr>
          <t xml:space="preserve">
Update the input month value.</t>
        </r>
      </text>
    </comment>
    <comment ref="M6" authorId="0" shapeId="0" xr:uid="{66AFAA63-968F-4351-AC51-078B07A32B34}">
      <text>
        <r>
          <rPr>
            <b/>
            <sz val="9"/>
            <color indexed="81"/>
            <rFont val="Tahoma"/>
            <family val="2"/>
          </rPr>
          <t>Adam Gladstone:</t>
        </r>
        <r>
          <rPr>
            <sz val="9"/>
            <color indexed="81"/>
            <rFont val="Tahoma"/>
            <family val="2"/>
          </rPr>
          <t xml:space="preserve">
Press "Refresh" (to refresh the FilterMonthValue based on the input month value)</t>
        </r>
      </text>
    </comment>
    <comment ref="O6" authorId="0" shapeId="0" xr:uid="{AED2CED8-F8F5-4AEB-A68A-825BBE3E935A}">
      <text>
        <r>
          <rPr>
            <b/>
            <sz val="9"/>
            <color indexed="81"/>
            <rFont val="Tahoma"/>
            <family val="2"/>
          </rPr>
          <t>Adam Gladstone:</t>
        </r>
        <r>
          <rPr>
            <sz val="9"/>
            <color indexed="81"/>
            <rFont val="Tahoma"/>
            <family val="2"/>
          </rPr>
          <t xml:space="preserve">
Press Refresh to update the amount owed based on the month name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5515B6-C924-4C4E-BC5C-48F23C26F4E7}" keepAlive="1" name="Query - FilterMonthValue" description="Connection to the 'FilterMonthValue' query in the workbook." type="5" refreshedVersion="8" background="1" saveData="1">
    <dbPr connection="Provider=Microsoft.Mashup.OleDb.1;Data Source=$Workbook$;Location=FilterMonthValue;Extended Properties=&quot;&quot;" command="SELECT * FROM [FilterMonthValue]"/>
  </connection>
  <connection id="2" xr16:uid="{DA8AF89D-B4CE-45DD-9C6C-7B4B327069A3}" keepAlive="1" name="Query - Monthly Summary I" description="Connection to the 'Monthly Summary I' query in the workbook." type="5" refreshedVersion="8" background="1" saveData="1">
    <dbPr connection="Provider=Microsoft.Mashup.OleDb.1;Data Source=$Workbook$;Location=&quot;Monthly Summary I&quot;;Extended Properties=&quot;&quot;" command="SELECT * FROM [Monthly Summary I]"/>
  </connection>
  <connection id="3" xr16:uid="{57EB0CDE-80B0-46E1-97FC-528A3B122B52}" keepAlive="1" name="Query - Monthly Summary II" description="Connection to the 'Monthly Summary II' query in the workbook." type="5" refreshedVersion="8" background="1" saveData="1">
    <dbPr connection="Provider=Microsoft.Mashup.OleDb.1;Data Source=$Workbook$;Location=&quot;Monthly Summary II&quot;;Extended Properties=&quot;&quot;" command="SELECT * FROM [Monthly Summary II]"/>
  </connection>
  <connection id="4" xr16:uid="{E92FE660-E7D1-4455-BD2A-8F98CC6B059A}" keepAlive="1" name="Query - Monthly Summary III (Filtered)" description="Connection to the 'Monthly Summary III (Filtered)' query in the workbook." type="5" refreshedVersion="8" background="1" saveData="1">
    <dbPr connection="Provider=Microsoft.Mashup.OleDb.1;Data Source=$Workbook$;Location=&quot;Monthly Summary III (Filtered)&quot;;Extended Properties=&quot;&quot;" command="SELECT * FROM [Monthly Summary III (Filtered)]"/>
  </connection>
  <connection id="5" xr16:uid="{CC556A48-2B84-46FF-A990-5034BF130370}" keepAlive="1" name="Query - ParameterisedQuery" description="Connection to the 'ParameterisedQuery' query in the workbook." type="5" refreshedVersion="8" background="1" saveData="1">
    <dbPr connection="Provider=Microsoft.Mashup.OleDb.1;Data Source=$Workbook$;Location=ParameterisedQuery;Extended Properties=&quot;&quot;" command="SELECT * FROM [ParameterisedQuery]"/>
  </connection>
  <connection id="6" xr16:uid="{88B4CA92-D453-416E-B55E-F973C65D6BB5}" keepAlive="1" name="Query - paramMonth" description="Connection to the 'paramMonth' query in the workbook." type="5" refreshedVersion="0" background="1">
    <dbPr connection="Provider=Microsoft.Mashup.OleDb.1;Data Source=$Workbook$;Location=paramMonth;Extended Properties=&quot;&quot;" command="SELECT * FROM [paramMonth]"/>
  </connection>
  <connection id="7" xr16:uid="{7769FD64-4679-4585-814D-62F2AB8C883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7AB497F-E7B2-4F39-8E30-1C74E5FBD218}" name="WorksheetConnection_AccountQueries.xlsx!TableTransactions" type="102" refreshedVersion="8" minRefreshableVersion="5">
    <extLst>
      <ext xmlns:x15="http://schemas.microsoft.com/office/spreadsheetml/2010/11/main" uri="{DE250136-89BD-433C-8126-D09CA5730AF9}">
        <x15:connection id="TableTransactions">
          <x15:rangePr sourceName="_xlcn.WorksheetConnection_AccountQueries.xlsxTableTransaction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<sst xmlns="http://schemas.openxmlformats.org/spreadsheetml/2006/main" count="83" uniqueCount="35">
  <si>
    <t>Date</t>
  </si>
  <si>
    <t>Details</t>
  </si>
  <si>
    <t>Category</t>
  </si>
  <si>
    <t>Withdrawal</t>
  </si>
  <si>
    <t>Deposit</t>
  </si>
  <si>
    <t>Balance</t>
  </si>
  <si>
    <t>CARRIED OVER</t>
  </si>
  <si>
    <t>Start</t>
  </si>
  <si>
    <t>Food &amp; Drink</t>
  </si>
  <si>
    <t>Clothes</t>
  </si>
  <si>
    <t>Presents</t>
  </si>
  <si>
    <t>Repayment</t>
  </si>
  <si>
    <t>Supermarket</t>
  </si>
  <si>
    <t>ACE Cards</t>
  </si>
  <si>
    <t>Café Latte</t>
  </si>
  <si>
    <t>Month</t>
  </si>
  <si>
    <t>Amount Owed</t>
  </si>
  <si>
    <t>Oct</t>
  </si>
  <si>
    <t>Nov</t>
  </si>
  <si>
    <t>May</t>
  </si>
  <si>
    <t>Jun</t>
  </si>
  <si>
    <t>Jul</t>
  </si>
  <si>
    <t>Year</t>
  </si>
  <si>
    <t>MonthName</t>
  </si>
  <si>
    <t>Create a parameter query (Power Query) - Microsoft Support</t>
  </si>
  <si>
    <t>Basic Table</t>
  </si>
  <si>
    <t>Basic Table (w/ Month and Year)</t>
  </si>
  <si>
    <t>Parameterised Query</t>
  </si>
  <si>
    <t>FilterMonthValue</t>
  </si>
  <si>
    <t>1) Input Month</t>
  </si>
  <si>
    <t>2) Filter Month</t>
  </si>
  <si>
    <t>Filtered Query</t>
  </si>
  <si>
    <t>Parameters - Power Query | Microsoft Learn</t>
  </si>
  <si>
    <t>References</t>
  </si>
  <si>
    <t>Excel LAMBDA function: how to write, calculate and use (ablebits.com)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</si>
</sst>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£&quot;#,##0.00;[Red]\-&quot;£&quot;#,##0.00"/>
    <numFmt numFmtId="164" formatCode="&quot;£&quot;#,##0.00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164" fontId="0" fillId="0" borderId="0" xfId="0" applyNumberFormat="1"/>
    <xf numFmtId="8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2" fillId="0" borderId="0" xfId="1" applyFill="1"/>
    <xf numFmtId="0" fontId="0" fillId="3" borderId="0" xfId="0" applyFill="1"/>
    <xf numFmtId="0" fontId="2" fillId="3" borderId="0" xfId="1" applyFill="1"/>
    <xf numFmtId="0" fontId="3" fillId="3" borderId="0" xfId="0" applyFont="1" applyFill="1"/>
    <xf numFmtId="0" fontId="0" fillId="4" borderId="0" xfId="0" applyFill="1"/>
    <xf numFmtId="0" fontId="3" fillId="4" borderId="0" xfId="0" applyFont="1" applyFill="1"/>
    <xf numFmtId="0" fontId="2" fillId="4" borderId="0" xfId="1" applyFill="1"/>
    <xf numFmtId="0" fontId="3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numFmt numFmtId="12" formatCode="&quot;£&quot;#,##0.00;[Red]\-&quot;£&quot;#,##0.00"/>
    </dxf>
    <dxf>
      <numFmt numFmtId="164" formatCode="&quot;£&quot;#,##0.00"/>
    </dxf>
    <dxf>
      <numFmt numFmtId="164" formatCode="&quot;£&quot;#,##0.00"/>
    </dxf>
    <dxf>
      <numFmt numFmtId="19" formatCode="dd/mm/yyyy"/>
    </dxf>
    <dxf>
      <numFmt numFmtId="164" formatCode="&quot;£&quot;#,##0.00"/>
    </dxf>
    <dxf>
      <numFmt numFmtId="164" formatCode="&quot;£&quot;#,##0.00"/>
    </dxf>
    <dxf>
      <numFmt numFmtId="0" formatCode="General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34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styles" Target="style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8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am Gladstone" refreshedDate="45258.486560648147" createdVersion="8" refreshedVersion="8" minRefreshableVersion="3" recordCount="12" xr:uid="{2413DC5A-FC79-40B3-91CB-291F3BB549F6}">
  <cacheSource type="worksheet">
    <worksheetSource name="TableTransactions"/>
  </cacheSource>
  <cacheFields count="8">
    <cacheField name="Date" numFmtId="14">
      <sharedItems containsSemiMixedTypes="0" containsNonDate="0" containsDate="1" containsString="0" minDate="2023-05-27T00:00:00" maxDate="2023-11-15T00:00:00" count="10">
        <d v="2023-05-27T00:00:00"/>
        <d v="2023-06-19T00:00:00"/>
        <d v="2023-06-24T00:00:00"/>
        <d v="2023-06-30T00:00:00"/>
        <d v="2023-07-31T00:00:00"/>
        <d v="2023-10-03T00:00:00"/>
        <d v="2023-10-23T00:00:00"/>
        <d v="2023-10-28T00:00:00"/>
        <d v="2023-11-11T00:00:00"/>
        <d v="2023-11-14T00:00:00"/>
      </sharedItems>
      <fieldGroup par="7"/>
    </cacheField>
    <cacheField name="Details" numFmtId="0">
      <sharedItems/>
    </cacheField>
    <cacheField name="Category" numFmtId="0">
      <sharedItems/>
    </cacheField>
    <cacheField name="Withdrawal" numFmtId="164">
      <sharedItems containsString="0" containsBlank="1" containsNumber="1" minValue="5.9" maxValue="199.49"/>
    </cacheField>
    <cacheField name="Deposit" numFmtId="164">
      <sharedItems containsString="0" containsBlank="1" containsNumber="1" minValue="5.9" maxValue="216.24"/>
    </cacheField>
    <cacheField name="Balance" numFmtId="8">
      <sharedItems containsSemiMixedTypes="0" containsString="0" containsNumber="1" minValue="-222.14000000000001" maxValue="0"/>
    </cacheField>
    <cacheField name="Days (Date)" numFmtId="0" databaseField="0">
      <fieldGroup base="0">
        <rangePr groupBy="days" startDate="2023-05-27T00:00:00" endDate="2023-11-15T00:00:00"/>
        <groupItems count="368">
          <s v="&lt;27/05/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5/11/2023"/>
        </groupItems>
      </fieldGroup>
    </cacheField>
    <cacheField name="Months (Date)" numFmtId="0" databaseField="0">
      <fieldGroup base="0">
        <rangePr groupBy="months" startDate="2023-05-27T00:00:00" endDate="2023-11-15T00:00:00"/>
        <groupItems count="14">
          <s v="&lt;27/05/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5/1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s v="CARRIED OVER"/>
    <s v="Start"/>
    <m/>
    <m/>
    <n v="0"/>
  </r>
  <r>
    <x v="0"/>
    <s v="Café Latte"/>
    <s v="Food &amp; Drink"/>
    <n v="5.9"/>
    <m/>
    <n v="-5.9"/>
  </r>
  <r>
    <x v="1"/>
    <s v="Supermarket"/>
    <s v="Food &amp; Drink"/>
    <n v="8.25"/>
    <m/>
    <n v="-14.15"/>
  </r>
  <r>
    <x v="1"/>
    <s v="Café Latte"/>
    <s v="Food &amp; Drink"/>
    <n v="8.5"/>
    <m/>
    <n v="-22.65"/>
  </r>
  <r>
    <x v="2"/>
    <s v="Clothes"/>
    <s v="Presents"/>
    <n v="199.49"/>
    <m/>
    <n v="-222.14000000000001"/>
  </r>
  <r>
    <x v="3"/>
    <s v="ACE Cards"/>
    <s v="Repayment"/>
    <m/>
    <n v="5.9"/>
    <n v="-216.24"/>
  </r>
  <r>
    <x v="4"/>
    <s v="ACE Cards"/>
    <s v="Repayment"/>
    <m/>
    <n v="216.24"/>
    <n v="0"/>
  </r>
  <r>
    <x v="5"/>
    <s v="Supermarket"/>
    <s v="Food &amp; Drink"/>
    <n v="25.56"/>
    <m/>
    <n v="-25.56"/>
  </r>
  <r>
    <x v="6"/>
    <s v="Supermarket"/>
    <s v="Food &amp; Drink"/>
    <n v="15.71"/>
    <m/>
    <n v="-41.269999999999996"/>
  </r>
  <r>
    <x v="7"/>
    <s v="Supermarket"/>
    <s v="Food &amp; Drink"/>
    <n v="16.920000000000002"/>
    <m/>
    <n v="-58.19"/>
  </r>
  <r>
    <x v="8"/>
    <s v="Supermarket"/>
    <s v="Food &amp; Drink"/>
    <n v="32.69"/>
    <m/>
    <n v="-90.88"/>
  </r>
  <r>
    <x v="9"/>
    <s v="Supermarket"/>
    <s v="Food &amp; Drink"/>
    <n v="16.13"/>
    <m/>
    <n v="-107.00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9AD7C5-9671-4AD8-A134-31035FEB78FC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showHeaders="0" outline="1" outlineData="1" multipleFieldFilters="0">
  <location ref="B2:C7" firstHeaderRow="1" firstDataRow="1" firstDataCol="1"/>
  <pivotFields count="8">
    <pivotField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dataField="1" showAll="0"/>
    <pivotField showAll="0"/>
    <pivotField numFmtId="8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name="Months (Date)"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7"/>
  </rowFields>
  <rowItems count="5">
    <i>
      <x v="5"/>
    </i>
    <i>
      <x v="6"/>
    </i>
    <i>
      <x v="7"/>
    </i>
    <i>
      <x v="10"/>
    </i>
    <i>
      <x v="11"/>
    </i>
  </rowItems>
  <colItems count="1">
    <i/>
  </colItems>
  <dataFields count="1">
    <dataField name="Amount Owed" fld="3" baseField="7" baseItem="5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050CF9E-16D1-4AFF-94AE-46EE91CB2C7A}" autoFormatId="16" applyNumberFormats="0" applyBorderFormats="0" applyFontFormats="0" applyPatternFormats="0" applyAlignmentFormats="0" applyWidthHeightFormats="0">
  <queryTableRefresh nextId="3">
    <queryTableFields count="2">
      <queryTableField id="1" name="Month" tableColumnId="1"/>
      <queryTableField id="2" name="Amount Owed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A0BDE680-D76F-487D-BCF3-5B2D5C3D4090}" autoFormatId="16" applyNumberFormats="0" applyBorderFormats="0" applyFontFormats="0" applyPatternFormats="0" applyAlignmentFormats="0" applyWidthHeightFormats="0">
  <queryTableRefresh nextId="7">
    <queryTableFields count="3">
      <queryTableField id="3" name="Month" tableColumnId="3"/>
      <queryTableField id="4" name="Year" tableColumnId="4"/>
      <queryTableField id="2" name="Amount Owed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03074102-2D69-4BC8-8C9D-F011E06C88FA}" autoFormatId="16" applyNumberFormats="0" applyBorderFormats="0" applyFontFormats="0" applyPatternFormats="0" applyAlignmentFormats="0" applyWidthHeightFormats="0">
  <queryTableRefresh nextId="2">
    <queryTableFields count="1">
      <queryTableField id="1" name="Amount Owed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7005458A-CCB6-403E-9B23-A2FFDC2E32BB}" autoFormatId="16" applyNumberFormats="0" applyBorderFormats="0" applyFontFormats="0" applyPatternFormats="0" applyAlignmentFormats="0" applyWidthHeightFormats="0">
  <queryTableRefresh nextId="2">
    <queryTableFields count="1">
      <queryTableField id="1" name="FilterMonthValue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" xr16:uid="{57F59B79-5C63-45EE-88D9-DCA0CEB87C99}" autoFormatId="16" applyNumberFormats="0" applyBorderFormats="0" applyFontFormats="0" applyPatternFormats="0" applyAlignmentFormats="0" applyWidthHeightFormats="0">
  <queryTableRefresh nextId="3">
    <queryTableFields count="2">
      <queryTableField id="1" name="MonthName" tableColumnId="1"/>
      <queryTableField id="2" name="Amount Owed" tableColumnId="2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D97EBB-F6BB-4DA5-A43A-158B00D7FFB2}" name="TableTransactions" displayName="TableTransactions" ref="A1:F13" totalsRowShown="0" headerRowDxfId="13">
  <autoFilter ref="A1:F13" xr:uid="{E1D97EBB-F6BB-4DA5-A43A-158B00D7FFB2}"/>
  <tableColumns count="6">
    <tableColumn id="1" xr3:uid="{493320C7-CED5-4735-924D-6EC4166FF3FB}" name="Date" dataDxfId="3"/>
    <tableColumn id="2" xr3:uid="{7CB9CDD8-A61F-4567-9584-EADC34A91984}" name="Details"/>
    <tableColumn id="3" xr3:uid="{3540A2F9-5B91-4EAD-96B3-D89BC1D3A016}" name="Category"/>
    <tableColumn id="4" xr3:uid="{A622872B-3012-4F23-A0AF-685EBF33C643}" name="Withdrawal" dataDxfId="2"/>
    <tableColumn id="5" xr3:uid="{B67B047F-10BC-4521-A271-E72CA3AF06C4}" name="Deposit" dataDxfId="1"/>
    <tableColumn id="6" xr3:uid="{7D4FDB42-ACBA-428E-BA6F-C2B7A5982A17}" name="Balanc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90456C-04AC-4BF5-A853-D214E2F29604}" name="TableSummaryFormula" displayName="TableSummaryFormula" ref="B2:C7" totalsRowShown="0">
  <autoFilter ref="B2:C7" xr:uid="{A490456C-04AC-4BF5-A853-D214E2F29604}"/>
  <tableColumns count="2">
    <tableColumn id="1" xr3:uid="{8E5C5C77-F1C7-491A-B69F-219F93658DA7}" name="Month"/>
    <tableColumn id="2" xr3:uid="{D0CED6C1-6221-46FA-81AB-9A1FA37C106C}" name="Amount Owed" dataDxfId="12">
      <calculatedColumnFormula array="1">SUM(_xlfn.CHOOSECOLS(_xlfn._xlws.FILTER(TableTransactions[],TEXT(TableTransactions[Date],"mmm")=B3, 0),4))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A1B3EAF-AC6E-47DE-A860-7CB46835BA33}" name="Table11" displayName="Table11" ref="B7:C9" totalsRowShown="0">
  <autoFilter ref="B7:C9" xr:uid="{CA1B3EAF-AC6E-47DE-A860-7CB46835BA33}"/>
  <tableColumns count="2">
    <tableColumn id="1" xr3:uid="{074F6034-E3FF-4B4C-977C-444A2F11FF3E}" name="Month"/>
    <tableColumn id="2" xr3:uid="{A59A8A16-C3E8-4A28-A297-29FC86EF0438}" name="Amount Owed" dataDxfId="11">
      <calculatedColumnFormula array="1">AmountOwedLambda(B8)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51A65E6-D9D4-4162-848B-B2D9D24052A9}" name="Monthly_Summary_I" displayName="Monthly_Summary_I" ref="B8:C13" tableType="queryTable" totalsRowShown="0">
  <autoFilter ref="B8:C13" xr:uid="{851A65E6-D9D4-4162-848B-B2D9D24052A9}"/>
  <tableColumns count="2">
    <tableColumn id="1" xr3:uid="{1E4974C4-88B4-4DE3-B8ED-98CFD6CF197E}" uniqueName="1" name="Month" queryTableFieldId="1"/>
    <tableColumn id="2" xr3:uid="{83B4D9BD-A1D0-4EE0-B051-5F631C8C8592}" uniqueName="2" name="Amount Owed" queryTableFieldId="2" dataDxf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97A2CE8-07A6-43A1-86AE-77EDC46804BF}" name="Monthly_Summary_II" displayName="Monthly_Summary_II" ref="E8:G13" tableType="queryTable" totalsRowShown="0">
  <autoFilter ref="E8:G13" xr:uid="{D97A2CE8-07A6-43A1-86AE-77EDC46804BF}"/>
  <tableColumns count="3">
    <tableColumn id="3" xr3:uid="{33E7A491-B200-426C-A35D-F8F892BFBDAE}" uniqueName="3" name="Month" queryTableFieldId="3"/>
    <tableColumn id="4" xr3:uid="{AC008913-1F95-4D98-92A0-330D003AEB99}" uniqueName="4" name="Year" queryTableFieldId="4"/>
    <tableColumn id="2" xr3:uid="{F0AEB787-5B48-4AFC-A7C0-763F9E89CBCE}" uniqueName="2" name="Amount Owed" queryTableFieldId="2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C05E49-3F55-4C0B-A14E-9198FD542067}" name="ParameterisedQuery" displayName="ParameterisedQuery" ref="I8:I9" tableType="queryTable" totalsRowShown="0" dataDxfId="8">
  <autoFilter ref="I8:I9" xr:uid="{ECC05E49-3F55-4C0B-A14E-9198FD542067}"/>
  <tableColumns count="1">
    <tableColumn id="1" xr3:uid="{E290506B-5FF9-4AA8-933C-1C321BFBDDAE}" uniqueName="1" name="Amount Owed" queryTableFieldId="1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FD41A7A-22DC-4BA2-B695-DA9FBFBAE855}" name="MonthFilter" displayName="MonthFilter" ref="K8:K9" totalsRowShown="0">
  <autoFilter ref="K8:K9" xr:uid="{5FD41A7A-22DC-4BA2-B695-DA9FBFBAE855}"/>
  <tableColumns count="1">
    <tableColumn id="1" xr3:uid="{3798C5D7-B7D7-4755-BB48-96BFE3A0E3FF}" name="Month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5B3AE4-B8CA-4C02-8287-BDA2059E3336}" name="FilterMonthValue" displayName="FilterMonthValue" ref="M8:M9" tableType="queryTable" totalsRowShown="0">
  <autoFilter ref="M8:M9" xr:uid="{715B3AE4-B8CA-4C02-8287-BDA2059E3336}"/>
  <tableColumns count="1">
    <tableColumn id="1" xr3:uid="{3E39F0AB-0364-41E9-A60B-0E5918C0FE23}" uniqueName="1" name="FilterMonthValue" queryTableFieldId="1" dataDxfId="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CFA0CC-ACE5-4A15-B987-6ECC408BEC81}" name="Monthly_Summary_III__Filtered" displayName="Monthly_Summary_III__Filtered" ref="O8:P9" tableType="queryTable" totalsRowShown="0">
  <autoFilter ref="O8:P9" xr:uid="{49CFA0CC-ACE5-4A15-B987-6ECC408BEC81}"/>
  <tableColumns count="2">
    <tableColumn id="1" xr3:uid="{6BE59432-445F-4C10-8C3B-B3B7E9D61CBC}" uniqueName="1" name="MonthName" queryTableFieldId="1"/>
    <tableColumn id="2" xr3:uid="{73A65A31-FF67-477B-BF52-7597C78AC2DF}" uniqueName="2" name="Amount Owed" queryTableFieldId="2" dataDxfId="5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B8019CB-7E41-498D-9DB6-A052B95BE940}" name="TableSummaryVBA" displayName="TableSummaryVBA" ref="B2:C7" totalsRowShown="0">
  <autoFilter ref="B2:C7" xr:uid="{3B8019CB-7E41-498D-9DB6-A052B95BE940}"/>
  <tableColumns count="2">
    <tableColumn id="1" xr3:uid="{0F85B39D-34BC-43D3-A95D-B8484A2CBAEC}" name="Month"/>
    <tableColumn id="2" xr3:uid="{1157690D-196C-4615-89A4-9FDFA9C667F8}" name="Amount Owed" dataDxfId="4">
      <calculatedColumnFormula array="1">AmountOwed(B3)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A5D47F7-10A1-4AE0-90B6-9D8B803A642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www.ablebits.com/office-addins-blog/excel-lambda-function-write-calculate-use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7.xml"/><Relationship Id="rId2" Type="http://schemas.openxmlformats.org/officeDocument/2006/relationships/hyperlink" Target="https://learn.microsoft.com/en-gb/power-query/power-query-query-parameters" TargetMode="External"/><Relationship Id="rId1" Type="http://schemas.openxmlformats.org/officeDocument/2006/relationships/hyperlink" Target="https://support.microsoft.com/en-us/office/create-a-parameter-query-power-query-5eb365bc-3982-4ab2-8830-b205a69e0f33" TargetMode="Externa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comments" Target="../comments1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DEAC7-6071-4B67-A5C3-0F9F5EE5AC08}">
  <sheetPr codeName="Sheet1"/>
  <dimension ref="A1:F13"/>
  <sheetViews>
    <sheetView tabSelected="1" workbookViewId="0"/>
  </sheetViews>
  <sheetFormatPr defaultColWidth="13.5546875" defaultRowHeight="14.4" x14ac:dyDescent="0.3"/>
  <cols>
    <col min="4" max="4" width="16.6640625" customWidth="1"/>
  </cols>
  <sheetData>
    <row r="1" spans="1:6" x14ac:dyDescent="0.3">
      <c r="A1" s="4" t="s">
        <v>0</v>
      </c>
      <c r="B1" s="4" t="s">
        <v>1</v>
      </c>
      <c r="C1" s="4" t="s">
        <v>2</v>
      </c>
      <c r="D1" s="5" t="s">
        <v>3</v>
      </c>
      <c r="E1" s="5" t="s">
        <v>4</v>
      </c>
      <c r="F1" s="4" t="s">
        <v>5</v>
      </c>
    </row>
    <row r="2" spans="1:6" x14ac:dyDescent="0.3">
      <c r="A2" s="1">
        <v>45073</v>
      </c>
      <c r="B2" t="s">
        <v>6</v>
      </c>
      <c r="C2" t="s">
        <v>7</v>
      </c>
      <c r="D2" s="2"/>
      <c r="E2" s="2"/>
      <c r="F2" s="3">
        <v>0</v>
      </c>
    </row>
    <row r="3" spans="1:6" x14ac:dyDescent="0.3">
      <c r="A3" s="1">
        <v>45073</v>
      </c>
      <c r="B3" t="s">
        <v>14</v>
      </c>
      <c r="C3" t="s">
        <v>8</v>
      </c>
      <c r="D3" s="2">
        <v>5.9</v>
      </c>
      <c r="E3" s="2"/>
      <c r="F3" s="3">
        <f>F2-TableTransactions[[#This Row],[Withdrawal]]+TableTransactions[[#This Row],[Deposit]]</f>
        <v>-5.9</v>
      </c>
    </row>
    <row r="4" spans="1:6" x14ac:dyDescent="0.3">
      <c r="A4" s="1">
        <v>45096</v>
      </c>
      <c r="B4" t="s">
        <v>12</v>
      </c>
      <c r="C4" t="s">
        <v>8</v>
      </c>
      <c r="D4" s="2">
        <v>8.25</v>
      </c>
      <c r="E4" s="2"/>
      <c r="F4" s="3">
        <f>F3-TableTransactions[[#This Row],[Withdrawal]]+TableTransactions[[#This Row],[Deposit]]</f>
        <v>-14.15</v>
      </c>
    </row>
    <row r="5" spans="1:6" x14ac:dyDescent="0.3">
      <c r="A5" s="1">
        <v>45096</v>
      </c>
      <c r="B5" t="s">
        <v>14</v>
      </c>
      <c r="C5" t="s">
        <v>8</v>
      </c>
      <c r="D5" s="2">
        <v>8.5</v>
      </c>
      <c r="E5" s="2"/>
      <c r="F5" s="3">
        <f>F4-TableTransactions[[#This Row],[Withdrawal]]+TableTransactions[[#This Row],[Deposit]]</f>
        <v>-22.65</v>
      </c>
    </row>
    <row r="6" spans="1:6" x14ac:dyDescent="0.3">
      <c r="A6" s="1">
        <v>45101</v>
      </c>
      <c r="B6" t="s">
        <v>9</v>
      </c>
      <c r="C6" t="s">
        <v>10</v>
      </c>
      <c r="D6" s="2">
        <v>199.49</v>
      </c>
      <c r="E6" s="2"/>
      <c r="F6" s="3">
        <f>F5-TableTransactions[[#This Row],[Withdrawal]]+TableTransactions[[#This Row],[Deposit]]</f>
        <v>-222.14000000000001</v>
      </c>
    </row>
    <row r="7" spans="1:6" x14ac:dyDescent="0.3">
      <c r="A7" s="1">
        <v>45107</v>
      </c>
      <c r="B7" t="s">
        <v>13</v>
      </c>
      <c r="C7" t="s">
        <v>11</v>
      </c>
      <c r="D7" s="2"/>
      <c r="E7" s="2">
        <v>5.9</v>
      </c>
      <c r="F7" s="3">
        <f>F6-TableTransactions[[#This Row],[Withdrawal]]+TableTransactions[[#This Row],[Deposit]]</f>
        <v>-216.24</v>
      </c>
    </row>
    <row r="8" spans="1:6" x14ac:dyDescent="0.3">
      <c r="A8" s="1">
        <v>45138</v>
      </c>
      <c r="B8" t="s">
        <v>13</v>
      </c>
      <c r="C8" t="s">
        <v>11</v>
      </c>
      <c r="D8" s="2"/>
      <c r="E8" s="2">
        <v>216.24</v>
      </c>
      <c r="F8" s="3">
        <f>F7-TableTransactions[[#This Row],[Withdrawal]]+TableTransactions[[#This Row],[Deposit]]</f>
        <v>0</v>
      </c>
    </row>
    <row r="9" spans="1:6" x14ac:dyDescent="0.3">
      <c r="A9" s="1">
        <v>45202</v>
      </c>
      <c r="B9" t="s">
        <v>12</v>
      </c>
      <c r="C9" t="s">
        <v>8</v>
      </c>
      <c r="D9" s="2">
        <v>25.56</v>
      </c>
      <c r="E9" s="2"/>
      <c r="F9" s="3">
        <f>F8-TableTransactions[[#This Row],[Withdrawal]]+TableTransactions[[#This Row],[Deposit]]</f>
        <v>-25.56</v>
      </c>
    </row>
    <row r="10" spans="1:6" x14ac:dyDescent="0.3">
      <c r="A10" s="1">
        <v>45222</v>
      </c>
      <c r="B10" t="s">
        <v>12</v>
      </c>
      <c r="C10" t="s">
        <v>8</v>
      </c>
      <c r="D10" s="2">
        <v>15.71</v>
      </c>
      <c r="E10" s="2"/>
      <c r="F10" s="3">
        <f>F9-TableTransactions[[#This Row],[Withdrawal]]+TableTransactions[[#This Row],[Deposit]]</f>
        <v>-41.269999999999996</v>
      </c>
    </row>
    <row r="11" spans="1:6" x14ac:dyDescent="0.3">
      <c r="A11" s="1">
        <v>45227</v>
      </c>
      <c r="B11" t="s">
        <v>12</v>
      </c>
      <c r="C11" t="s">
        <v>8</v>
      </c>
      <c r="D11" s="2">
        <v>16.920000000000002</v>
      </c>
      <c r="E11" s="2"/>
      <c r="F11" s="3">
        <f>F10-TableTransactions[[#This Row],[Withdrawal]]+TableTransactions[[#This Row],[Deposit]]</f>
        <v>-58.19</v>
      </c>
    </row>
    <row r="12" spans="1:6" x14ac:dyDescent="0.3">
      <c r="A12" s="1">
        <v>45241</v>
      </c>
      <c r="B12" t="s">
        <v>12</v>
      </c>
      <c r="C12" t="s">
        <v>8</v>
      </c>
      <c r="D12" s="2">
        <v>32.69</v>
      </c>
      <c r="E12" s="2"/>
      <c r="F12" s="3">
        <f>F11-TableTransactions[[#This Row],[Withdrawal]]+TableTransactions[[#This Row],[Deposit]]</f>
        <v>-90.88</v>
      </c>
    </row>
    <row r="13" spans="1:6" x14ac:dyDescent="0.3">
      <c r="A13" s="1">
        <v>45244</v>
      </c>
      <c r="B13" t="s">
        <v>12</v>
      </c>
      <c r="C13" t="s">
        <v>8</v>
      </c>
      <c r="D13" s="2">
        <v>16.13</v>
      </c>
      <c r="E13" s="2"/>
      <c r="F13" s="3">
        <f>F12-TableTransactions[[#This Row],[Withdrawal]]+TableTransactions[[#This Row],[Deposit]]</f>
        <v>-107.00999999999999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2126-5210-48CA-9D27-0ACC7206E32C}">
  <sheetPr codeName="Sheet2"/>
  <dimension ref="B2:C7"/>
  <sheetViews>
    <sheetView workbookViewId="0">
      <selection activeCell="C3" sqref="C3"/>
    </sheetView>
  </sheetViews>
  <sheetFormatPr defaultRowHeight="14.4" x14ac:dyDescent="0.3"/>
  <cols>
    <col min="3" max="3" width="14.44140625" customWidth="1"/>
  </cols>
  <sheetData>
    <row r="2" spans="2:3" x14ac:dyDescent="0.3">
      <c r="B2" t="s">
        <v>15</v>
      </c>
      <c r="C2" t="s">
        <v>16</v>
      </c>
    </row>
    <row r="3" spans="2:3" x14ac:dyDescent="0.3">
      <c r="B3" t="s">
        <v>19</v>
      </c>
      <c r="C3" s="2" cm="1">
        <f t="array" ref="C3">SUM(_xlfn.CHOOSECOLS(_xlfn._xlws.FILTER(TableTransactions[],TEXT(TableTransactions[Date],"mmm")=B3, 0),4))</f>
        <v>5.9</v>
      </c>
    </row>
    <row r="4" spans="2:3" x14ac:dyDescent="0.3">
      <c r="B4" t="s">
        <v>20</v>
      </c>
      <c r="C4" s="2" cm="1">
        <f t="array" ref="C4">SUM(_xlfn.CHOOSECOLS(_xlfn._xlws.FILTER(TableTransactions[],TEXT(TableTransactions[Date],"mmm")=B4, 0),4))</f>
        <v>216.24</v>
      </c>
    </row>
    <row r="5" spans="2:3" x14ac:dyDescent="0.3">
      <c r="B5" t="s">
        <v>21</v>
      </c>
      <c r="C5" s="2" cm="1">
        <f t="array" ref="C5">SUM(_xlfn.CHOOSECOLS(_xlfn._xlws.FILTER(TableTransactions[],TEXT(TableTransactions[Date],"mmm")=B5, 0),4))</f>
        <v>0</v>
      </c>
    </row>
    <row r="6" spans="2:3" x14ac:dyDescent="0.3">
      <c r="B6" t="s">
        <v>17</v>
      </c>
      <c r="C6" s="2" cm="1">
        <f t="array" ref="C6">SUM(_xlfn.CHOOSECOLS(_xlfn._xlws.FILTER(TableTransactions[],TEXT(TableTransactions[Date],"mmm")=B6, 0),4))</f>
        <v>58.19</v>
      </c>
    </row>
    <row r="7" spans="2:3" x14ac:dyDescent="0.3">
      <c r="B7" t="s">
        <v>18</v>
      </c>
      <c r="C7" s="2" cm="1">
        <f t="array" ref="C7">SUM(_xlfn.CHOOSECOLS(_xlfn._xlws.FILTER(TableTransactions[],TEXT(TableTransactions[Date],"mmm")=B7, 0),4))</f>
        <v>48.819999999999993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248E-2882-479C-8F8D-4AF04F15781B}">
  <sheetPr codeName="Sheet8"/>
  <dimension ref="B2:H9"/>
  <sheetViews>
    <sheetView workbookViewId="0">
      <selection activeCell="C8" sqref="C8"/>
    </sheetView>
  </sheetViews>
  <sheetFormatPr defaultRowHeight="14.4" x14ac:dyDescent="0.3"/>
  <cols>
    <col min="2" max="2" width="11.44140625" customWidth="1"/>
    <col min="3" max="3" width="17.6640625" customWidth="1"/>
  </cols>
  <sheetData>
    <row r="2" spans="2:8" x14ac:dyDescent="0.3">
      <c r="B2" s="14" t="s">
        <v>33</v>
      </c>
      <c r="C2" s="14"/>
      <c r="D2" s="14"/>
      <c r="E2" s="14"/>
      <c r="F2" s="14"/>
      <c r="G2" s="14"/>
      <c r="H2" s="14"/>
    </row>
    <row r="3" spans="2:8" x14ac:dyDescent="0.3">
      <c r="B3" s="15" t="s">
        <v>34</v>
      </c>
      <c r="C3" s="13"/>
      <c r="D3" s="13"/>
      <c r="E3" s="13"/>
      <c r="F3" s="13"/>
      <c r="G3" s="13"/>
      <c r="H3" s="13"/>
    </row>
    <row r="7" spans="2:8" x14ac:dyDescent="0.3">
      <c r="B7" t="s">
        <v>15</v>
      </c>
      <c r="C7" t="s">
        <v>16</v>
      </c>
    </row>
    <row r="8" spans="2:8" x14ac:dyDescent="0.3">
      <c r="B8" t="s">
        <v>17</v>
      </c>
      <c r="C8" s="2" cm="1">
        <f t="array" aca="1" ref="C8" ca="1">AmountOwedLambda(B8)</f>
        <v>58.19</v>
      </c>
    </row>
    <row r="9" spans="2:8" x14ac:dyDescent="0.3">
      <c r="B9" t="s">
        <v>18</v>
      </c>
      <c r="C9" s="2" cm="1">
        <f t="array" aca="1" ref="C9" ca="1">AmountOwedLambda(B9)</f>
        <v>48.819999999999993</v>
      </c>
    </row>
  </sheetData>
  <hyperlinks>
    <hyperlink ref="B3" r:id="rId1" location=":~:text=The%20LAMBDA%20function%20in%20Excel,name%20you%20like%2C%20say%20BestFunction." display="https://www.ablebits.com/office-addins-blog/excel-lambda-function-write-calculate-use/ - :~:text=The%20LAMBDA%20function%20in%20Excel,name%20you%20like%2C%20say%20BestFunction." xr:uid="{433FA46E-6FD4-41A4-A0BA-D772BA9928AB}"/>
  </hyperlinks>
  <pageMargins left="0.7" right="0.7" top="0.75" bottom="0.75" header="0.3" footer="0.3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51809-7790-4D20-9043-3CC8CC55E5E5}">
  <sheetPr codeName="Sheet3"/>
  <dimension ref="B2:C7"/>
  <sheetViews>
    <sheetView workbookViewId="0">
      <selection activeCell="B2" sqref="B2"/>
    </sheetView>
  </sheetViews>
  <sheetFormatPr defaultRowHeight="14.4" x14ac:dyDescent="0.3"/>
  <cols>
    <col min="2" max="2" width="4.21875" bestFit="1" customWidth="1"/>
    <col min="3" max="3" width="12.5546875" bestFit="1" customWidth="1"/>
    <col min="4" max="4" width="5" bestFit="1" customWidth="1"/>
    <col min="5" max="5" width="4" bestFit="1" customWidth="1"/>
    <col min="6" max="8" width="6" bestFit="1" customWidth="1"/>
    <col min="9" max="9" width="7.77734375" bestFit="1" customWidth="1"/>
    <col min="10" max="11" width="7" bestFit="1" customWidth="1"/>
    <col min="12" max="12" width="10.5546875" bestFit="1" customWidth="1"/>
  </cols>
  <sheetData>
    <row r="2" spans="2:3" x14ac:dyDescent="0.3">
      <c r="C2" t="s">
        <v>16</v>
      </c>
    </row>
    <row r="3" spans="2:3" x14ac:dyDescent="0.3">
      <c r="B3" s="6" t="s">
        <v>19</v>
      </c>
      <c r="C3" s="2">
        <v>5.9</v>
      </c>
    </row>
    <row r="4" spans="2:3" x14ac:dyDescent="0.3">
      <c r="B4" s="6" t="s">
        <v>20</v>
      </c>
      <c r="C4" s="2">
        <v>216.24</v>
      </c>
    </row>
    <row r="5" spans="2:3" x14ac:dyDescent="0.3">
      <c r="B5" s="6" t="s">
        <v>21</v>
      </c>
      <c r="C5" s="2"/>
    </row>
    <row r="6" spans="2:3" x14ac:dyDescent="0.3">
      <c r="B6" s="6" t="s">
        <v>17</v>
      </c>
      <c r="C6" s="2">
        <v>58.19</v>
      </c>
    </row>
    <row r="7" spans="2:3" x14ac:dyDescent="0.3">
      <c r="B7" s="6" t="s">
        <v>18</v>
      </c>
      <c r="C7" s="2">
        <v>48.819999999999993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E3EB9-AD57-49BB-B81F-7325B9E496D9}">
  <sheetPr codeName="Sheet4"/>
  <dimension ref="B1:P18"/>
  <sheetViews>
    <sheetView topLeftCell="J4" workbookViewId="0">
      <selection activeCell="K9" sqref="K9"/>
    </sheetView>
  </sheetViews>
  <sheetFormatPr defaultRowHeight="14.4" x14ac:dyDescent="0.3"/>
  <cols>
    <col min="1" max="1" width="5.33203125" customWidth="1"/>
    <col min="2" max="2" width="8.33203125" bestFit="1" customWidth="1"/>
    <col min="3" max="3" width="14.77734375" bestFit="1" customWidth="1"/>
    <col min="5" max="5" width="8.33203125" bestFit="1" customWidth="1"/>
    <col min="6" max="6" width="6.88671875" bestFit="1" customWidth="1"/>
    <col min="7" max="7" width="14.77734375" bestFit="1" customWidth="1"/>
    <col min="8" max="8" width="5" customWidth="1"/>
    <col min="9" max="9" width="18.77734375" bestFit="1" customWidth="1"/>
    <col min="10" max="10" width="5.21875" customWidth="1"/>
    <col min="11" max="11" width="13.5546875" customWidth="1"/>
    <col min="12" max="12" width="3.33203125" customWidth="1"/>
    <col min="13" max="13" width="17.5546875" bestFit="1" customWidth="1"/>
    <col min="14" max="14" width="3.88671875" customWidth="1"/>
    <col min="15" max="15" width="13.33203125" bestFit="1" customWidth="1"/>
    <col min="16" max="16" width="14.77734375" bestFit="1" customWidth="1"/>
  </cols>
  <sheetData>
    <row r="1" spans="2:16" x14ac:dyDescent="0.3">
      <c r="B1" s="12" t="s">
        <v>33</v>
      </c>
      <c r="C1" s="10"/>
      <c r="D1" s="10"/>
      <c r="E1" s="10"/>
      <c r="F1" s="10"/>
    </row>
    <row r="2" spans="2:16" x14ac:dyDescent="0.3">
      <c r="B2" s="11" t="s">
        <v>24</v>
      </c>
      <c r="C2" s="10"/>
      <c r="D2" s="10"/>
      <c r="E2" s="10"/>
      <c r="F2" s="10"/>
    </row>
    <row r="3" spans="2:16" x14ac:dyDescent="0.3">
      <c r="B3" s="11" t="s">
        <v>32</v>
      </c>
      <c r="C3" s="10"/>
      <c r="D3" s="10"/>
      <c r="E3" s="10"/>
      <c r="F3" s="10"/>
    </row>
    <row r="4" spans="2:16" x14ac:dyDescent="0.3">
      <c r="C4" s="9"/>
    </row>
    <row r="5" spans="2:16" x14ac:dyDescent="0.3">
      <c r="C5" s="9"/>
    </row>
    <row r="6" spans="2:16" x14ac:dyDescent="0.3">
      <c r="B6" s="16" t="s">
        <v>25</v>
      </c>
      <c r="C6" s="16"/>
      <c r="E6" s="16" t="s">
        <v>26</v>
      </c>
      <c r="F6" s="16"/>
      <c r="G6" s="16"/>
      <c r="I6" s="7" t="s">
        <v>27</v>
      </c>
      <c r="K6" s="8" t="s">
        <v>29</v>
      </c>
      <c r="M6" s="8" t="s">
        <v>30</v>
      </c>
      <c r="O6" s="16" t="s">
        <v>31</v>
      </c>
      <c r="P6" s="16"/>
    </row>
    <row r="8" spans="2:16" x14ac:dyDescent="0.3">
      <c r="B8" t="s">
        <v>15</v>
      </c>
      <c r="C8" s="2" t="s">
        <v>16</v>
      </c>
      <c r="E8" t="s">
        <v>15</v>
      </c>
      <c r="F8" t="s">
        <v>22</v>
      </c>
      <c r="G8" s="2" t="s">
        <v>16</v>
      </c>
      <c r="I8" t="s">
        <v>16</v>
      </c>
      <c r="K8" t="s">
        <v>15</v>
      </c>
      <c r="M8" t="s">
        <v>28</v>
      </c>
      <c r="O8" t="s">
        <v>23</v>
      </c>
      <c r="P8" s="2" t="s">
        <v>16</v>
      </c>
    </row>
    <row r="9" spans="2:16" x14ac:dyDescent="0.3">
      <c r="B9" t="s">
        <v>19</v>
      </c>
      <c r="C9" s="2">
        <v>5.9</v>
      </c>
      <c r="E9">
        <v>5</v>
      </c>
      <c r="F9">
        <v>2023</v>
      </c>
      <c r="G9" s="2">
        <v>5.9</v>
      </c>
      <c r="I9" s="2">
        <v>5.9</v>
      </c>
      <c r="K9" t="s">
        <v>17</v>
      </c>
      <c r="M9" t="s">
        <v>17</v>
      </c>
      <c r="O9" t="s">
        <v>17</v>
      </c>
      <c r="P9" s="2">
        <v>58.19</v>
      </c>
    </row>
    <row r="10" spans="2:16" x14ac:dyDescent="0.3">
      <c r="B10" t="s">
        <v>20</v>
      </c>
      <c r="C10" s="2">
        <v>216.24</v>
      </c>
      <c r="E10">
        <v>6</v>
      </c>
      <c r="F10">
        <v>2023</v>
      </c>
      <c r="G10" s="2">
        <v>216.24</v>
      </c>
      <c r="J10" s="2"/>
    </row>
    <row r="11" spans="2:16" x14ac:dyDescent="0.3">
      <c r="B11" t="s">
        <v>21</v>
      </c>
      <c r="C11" s="2"/>
      <c r="E11">
        <v>7</v>
      </c>
      <c r="F11">
        <v>2023</v>
      </c>
      <c r="G11" s="2"/>
    </row>
    <row r="12" spans="2:16" x14ac:dyDescent="0.3">
      <c r="B12" t="s">
        <v>17</v>
      </c>
      <c r="C12" s="2">
        <v>58.19</v>
      </c>
      <c r="E12">
        <v>10</v>
      </c>
      <c r="F12">
        <v>2023</v>
      </c>
      <c r="G12" s="2">
        <v>58.19</v>
      </c>
    </row>
    <row r="13" spans="2:16" x14ac:dyDescent="0.3">
      <c r="B13" t="s">
        <v>18</v>
      </c>
      <c r="C13" s="2">
        <v>48.82</v>
      </c>
      <c r="E13">
        <v>11</v>
      </c>
      <c r="F13">
        <v>2023</v>
      </c>
      <c r="G13" s="2">
        <v>48.819999999999993</v>
      </c>
    </row>
    <row r="18" spans="10:10" x14ac:dyDescent="0.3">
      <c r="J18" s="2"/>
    </row>
  </sheetData>
  <mergeCells count="3">
    <mergeCell ref="B6:C6"/>
    <mergeCell ref="E6:G6"/>
    <mergeCell ref="O6:P6"/>
  </mergeCells>
  <phoneticPr fontId="1" type="noConversion"/>
  <hyperlinks>
    <hyperlink ref="B2" r:id="rId1" display="https://support.microsoft.com/en-us/office/create-a-parameter-query-power-query-5eb365bc-3982-4ab2-8830-b205a69e0f33" xr:uid="{DA5A19C2-B573-475A-8CC6-654C010AFECB}"/>
    <hyperlink ref="B3" r:id="rId2" display="https://learn.microsoft.com/en-gb/power-query/power-query-query-parameters" xr:uid="{C9048EE4-1A33-4FB3-81B3-D96A90872CB8}"/>
  </hyperlinks>
  <pageMargins left="0.7" right="0.7" top="0.75" bottom="0.75" header="0.3" footer="0.3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9360C-298B-4A28-BAE6-528881133236}">
  <sheetPr codeName="Sheet5"/>
  <dimension ref="B2:C7"/>
  <sheetViews>
    <sheetView workbookViewId="0">
      <selection activeCell="B9" sqref="B9"/>
    </sheetView>
  </sheetViews>
  <sheetFormatPr defaultRowHeight="14.4" x14ac:dyDescent="0.3"/>
  <cols>
    <col min="3" max="3" width="14.44140625" customWidth="1"/>
  </cols>
  <sheetData>
    <row r="2" spans="2:3" x14ac:dyDescent="0.3">
      <c r="B2" t="s">
        <v>15</v>
      </c>
      <c r="C2" t="s">
        <v>16</v>
      </c>
    </row>
    <row r="3" spans="2:3" x14ac:dyDescent="0.3">
      <c r="B3" t="s">
        <v>19</v>
      </c>
      <c r="C3" s="2" cm="1">
        <f t="array" ref="C3">AmountOwed(B3)</f>
        <v>5.9</v>
      </c>
    </row>
    <row r="4" spans="2:3" x14ac:dyDescent="0.3">
      <c r="B4" t="s">
        <v>20</v>
      </c>
      <c r="C4" s="2" cm="1">
        <f t="array" ref="C4">AmountOwed(B4)</f>
        <v>216.24</v>
      </c>
    </row>
    <row r="5" spans="2:3" x14ac:dyDescent="0.3">
      <c r="B5" t="s">
        <v>21</v>
      </c>
      <c r="C5" s="2" cm="1">
        <f t="array" ref="C5">AmountOwed(B5)</f>
        <v>0</v>
      </c>
    </row>
    <row r="6" spans="2:3" x14ac:dyDescent="0.3">
      <c r="B6" t="s">
        <v>17</v>
      </c>
      <c r="C6" s="2" cm="1">
        <f t="array" ref="C6">AmountOwed(B6)</f>
        <v>58.19</v>
      </c>
    </row>
    <row r="7" spans="2:3" x14ac:dyDescent="0.3">
      <c r="B7" t="s">
        <v>18</v>
      </c>
      <c r="C7" s="2" cm="1">
        <f t="array" ref="C7">AmountOwed(B7)</f>
        <v>48.82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C9918B68-28AE-43FB-9DB5-358EDD6A6A60}">
  <ds:schemaRefs/>
</ds:datastoreItem>
</file>

<file path=customXml/itemProps2.xml><?xml version="1.0" encoding="utf-8"?>
<ds:datastoreItem xmlns:ds="http://schemas.openxmlformats.org/officeDocument/2006/customXml" ds:itemID="{FA0B36CC-231D-4ABB-B5CD-8B85210C806C}">
  <ds:schemaRefs/>
</ds:datastoreItem>
</file>

<file path=customXml/itemProps3.xml><?xml version="1.0" encoding="utf-8"?>
<ds:datastoreItem xmlns:ds="http://schemas.openxmlformats.org/officeDocument/2006/customXml" ds:itemID="{576247B2-63D5-422A-A572-1D57BC5E8672}">
  <ds:schemaRefs/>
</ds:datastoreItem>
</file>

<file path=customXml/itemProps4.xml><?xml version="1.0" encoding="utf-8"?>
<ds:datastoreItem xmlns:ds="http://schemas.openxmlformats.org/officeDocument/2006/customXml" ds:itemID="{29A74349-9E17-4064-92A1-4F7F0902BC53}">
  <ds:schemaRefs/>
</ds:datastoreItem>
</file>

<file path=customXml/itemProps5.xml><?xml version="1.0" encoding="utf-8"?>
<ds:datastoreItem xmlns:ds="http://schemas.openxmlformats.org/officeDocument/2006/customXml" ds:itemID="{46ABA833-A62D-4FFF-B99F-312899DE6629}">
  <ds:schemaRefs/>
</ds:datastoreItem>
</file>

<file path=customXml/itemProps6.xml><?xml version="1.0" encoding="utf-8"?>
<ds:datastoreItem xmlns:ds="http://schemas.openxmlformats.org/officeDocument/2006/customXml" ds:itemID="{D9BBC4ED-73E3-445F-8AEF-62DDD633E744}">
  <ds:schemaRefs/>
</ds:datastoreItem>
</file>

<file path=customXml/itemProps7.xml><?xml version="1.0" encoding="utf-8"?>
<ds:datastoreItem xmlns:ds="http://schemas.openxmlformats.org/officeDocument/2006/customXml" ds:itemID="{9FD8E515-D2F4-429F-9EE8-D47F7F38A004}">
  <ds:schemaRefs/>
</ds:datastoreItem>
</file>

<file path=customXml/itemProps8.xml><?xml version="1.0" encoding="utf-8"?>
<ds:datastoreItem xmlns:ds="http://schemas.openxmlformats.org/officeDocument/2006/customXml" ds:itemID="{1787C9CD-3B29-49A3-B089-CC6A4B197550}">
  <ds:schemaRefs/>
</ds:datastoreItem>
</file>

<file path=customXml/itemProps9.xml><?xml version="1.0" encoding="utf-8"?>
<ds:datastoreItem xmlns:ds="http://schemas.openxmlformats.org/officeDocument/2006/customXml" ds:itemID="{C8C097CB-ACB8-4931-A9F1-07DC83B12310}">
  <ds:schemaRefs/>
</ds:datastoreItem>
</file>

<file path=customXml/itemProps10.xml><?xml version="1.0" encoding="utf-8"?>
<ds:datastoreItem xmlns:ds="http://schemas.openxmlformats.org/officeDocument/2006/customXml" ds:itemID="{18BA2545-5CE3-40FD-95FE-25FBA48AFF86}">
  <ds:schemaRefs/>
</ds:datastoreItem>
</file>

<file path=customXml/itemProps11.xml><?xml version="1.0" encoding="utf-8"?>
<ds:datastoreItem xmlns:ds="http://schemas.openxmlformats.org/officeDocument/2006/customXml" ds:itemID="{9962D0C5-F3D5-4276-893B-4A9D54321B89}">
  <ds:schemaRefs/>
</ds:datastoreItem>
</file>

<file path=customXml/itemProps12.xml><?xml version="1.0" encoding="utf-8"?>
<ds:datastoreItem xmlns:ds="http://schemas.openxmlformats.org/officeDocument/2006/customXml" ds:itemID="{11D93AE7-E573-431A-93F1-D4B066D6B5BF}">
  <ds:schemaRefs/>
</ds:datastoreItem>
</file>

<file path=customXml/itemProps13.xml><?xml version="1.0" encoding="utf-8"?>
<ds:datastoreItem xmlns:ds="http://schemas.openxmlformats.org/officeDocument/2006/customXml" ds:itemID="{EA034971-3E98-4050-9EAC-D79B8E9FC028}">
  <ds:schemaRefs/>
</ds:datastoreItem>
</file>

<file path=customXml/itemProps14.xml><?xml version="1.0" encoding="utf-8"?>
<ds:datastoreItem xmlns:ds="http://schemas.openxmlformats.org/officeDocument/2006/customXml" ds:itemID="{D7B36AA2-153E-4214-859E-BBABD84C6129}">
  <ds:schemaRefs/>
</ds:datastoreItem>
</file>

<file path=customXml/itemProps15.xml><?xml version="1.0" encoding="utf-8"?>
<ds:datastoreItem xmlns:ds="http://schemas.openxmlformats.org/officeDocument/2006/customXml" ds:itemID="{DB4DA466-6795-498B-8210-AB58F26B8C62}">
  <ds:schemaRefs/>
</ds:datastoreItem>
</file>

<file path=customXml/itemProps16.xml><?xml version="1.0" encoding="utf-8"?>
<ds:datastoreItem xmlns:ds="http://schemas.openxmlformats.org/officeDocument/2006/customXml" ds:itemID="{3EDC0E1C-2D94-4C69-8CC5-7BB0D5D2E887}">
  <ds:schemaRefs/>
</ds:datastoreItem>
</file>

<file path=customXml/itemProps17.xml><?xml version="1.0" encoding="utf-8"?>
<ds:datastoreItem xmlns:ds="http://schemas.openxmlformats.org/officeDocument/2006/customXml" ds:itemID="{686774EE-1A4E-495B-B38D-E20A76ED200B}">
  <ds:schemaRefs/>
</ds:datastoreItem>
</file>

<file path=customXml/itemProps18.xml><?xml version="1.0" encoding="utf-8"?>
<ds:datastoreItem xmlns:ds="http://schemas.openxmlformats.org/officeDocument/2006/customXml" ds:itemID="{6558AAD2-4FA2-43D3-B0E7-EB81BE748BAD}">
  <ds:schemaRefs/>
</ds:datastoreItem>
</file>

<file path=customXml/itemProps19.xml><?xml version="1.0" encoding="utf-8"?>
<ds:datastoreItem xmlns:ds="http://schemas.openxmlformats.org/officeDocument/2006/customXml" ds:itemID="{B6407990-FF4A-4779-B543-EA07E72C28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Credit Card Transactions</vt:lpstr>
      <vt:lpstr>Formula</vt:lpstr>
      <vt:lpstr>Lambda</vt:lpstr>
      <vt:lpstr>Pivot Table</vt:lpstr>
      <vt:lpstr>Power Query</vt:lpstr>
      <vt:lpstr>VBA</vt:lpstr>
      <vt:lpstr>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Gladstone</dc:creator>
  <cp:lastModifiedBy>Adam Gladstone</cp:lastModifiedBy>
  <dcterms:created xsi:type="dcterms:W3CDTF">2023-11-13T09:07:50Z</dcterms:created>
  <dcterms:modified xsi:type="dcterms:W3CDTF">2023-11-28T12:49:35Z</dcterms:modified>
</cp:coreProperties>
</file>